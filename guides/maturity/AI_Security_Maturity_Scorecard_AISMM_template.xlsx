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8fe78699a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0d3e9b698704cd9"/>
    <x:sheet xmlns:r="http://schemas.openxmlformats.org/officeDocument/2006/relationships" name="Questionnaire" sheetId="2" r:id="R2ec8941876ab4f33"/>
    <x:sheet xmlns:r="http://schemas.openxmlformats.org/officeDocument/2006/relationships" name="Dashboard" sheetId="3" r:id="R236bc3fa755c4105"/>
    <x:sheet xmlns:r="http://schemas.openxmlformats.org/officeDocument/2006/relationships" name="Chart Data" sheetId="4" r:id="Rb1f9dcddc6744d0e" state="hidden"/>
  </x:sheets>
  <x:calcPr calcMode="auto" fullCalcOnLoad="1" forceFullCalc="1"/>
</x:workbook>
</file>

<file path=xl/sharedStrings.xml><?xml version="1.0" encoding="utf-8"?>
<x:sst xmlns:x="http://schemas.openxmlformats.org/spreadsheetml/2006/main">
  <x:si>
    <x:t xml:space="preserve">AI Security Maturity Assessment</x:t>
  </x:si>
  <x:si>
    <x:t xml:space="preserve">Based on the CSA AI Security Maturity Model (AISMM)</x:t>
  </x:si>
  <x:si>
    <x:t xml:space="preserve">How to use this scorecard</x:t>
  </x:si>
  <x:si>
    <x:t xml:space="preserve">1.  Open the 'Questionnaire' tab. It lists the 12 AISMM security categories, grouped into 3 domains.</x:t>
  </x:si>
  <x:si>
    <x:t xml:space="preserve">2.  For each category, read the five level descriptions (Initial -&gt; Efficient) and pick the one that best describes the current state.</x:t>
  </x:si>
  <x:si>
    <x:t xml:space="preserve">3.  Enter that level (1-5) in the yellow 'Your Score' column using the dropdown.</x:t>
  </x:si>
  <x:si>
    <x:t xml:space="preserve">Scoring guidance</x:t>
  </x:si>
  <x:si>
    <x:t xml:space="preserve">Score the level you have largely achieved across the enterprise - not isolated pilots or aspirations. If a level is only partly met, choose the level below it.</x:t>
  </x:si>
  <x:si>
    <x:t xml:space="preserve">The three AISMM domains</x:t>
  </x:si>
  <x:si>
    <x:t xml:space="preserve">Foundational - Governance, Organization Management, IAM, Security Monitoring. The secure enterprise AI baseline.</x:t>
  </x:si>
  <x:si>
    <x:t xml:space="preserve">Structural - Infrastructure Security &amp; Resilience, Model Security, App Security, Data Security. Protect the building blocks of AI deployments.</x:t>
  </x:si>
  <x:si>
    <x:t xml:space="preserve">Procedural - Risk &amp; Provider Assessment, AI Dev &amp; Supply Chain, Privacy/Compliance &amp; Audit, Incident Response. Processes protecting AI apps and tools.</x:t>
  </x:si>
  <x:si>
    <x:t xml:space="preserve">Maturity levels</x:t>
  </x:si>
  <x:si>
    <x:t xml:space="preserve">Level 1  Initial - Ad hoc, no AI-specific controls</x:t>
  </x:si>
  <x:si>
    <x:t xml:space="preserve">Level 2  Repeatable - Basic controls established, inconsistent</x:t>
  </x:si>
  <x:si>
    <x:t xml:space="preserve">Level 3  Defined - Standardized and documented</x:t>
  </x:si>
  <x:si>
    <x:t xml:space="preserve">Level 4  Capable - Enforced, automated, and measured</x:t>
  </x:si>
  <x:si>
    <x:t xml:space="preserve">Level 5  Efficient - Continuously optimized and proactive</x:t>
  </x:si>
  <x:si>
    <x:t xml:space="preserve">Source: Cloud Security Alliance, AI Security Maturity Model (AISMM), 2026. cloudsecurityalliance.org</x:t>
  </x:si>
  <x:si>
    <x:t xml:space="preserve">AI Security Maturity Questionnaire (AISMM)</x:t>
  </x:si>
  <x:si>
    <x:t xml:space="preserve">For each category, read Levels 1-5 and choose the best match in the yellow 'Your Score' column.</x:t>
  </x:si>
  <x:si>
    <x:t xml:space="preserve">Category</x:t>
  </x:si>
  <x:si>
    <x:t xml:space="preserve">1 - Initial</x:t>
  </x:si>
  <x:si>
    <x:t xml:space="preserve">2 - Repeatable</x:t>
  </x:si>
  <x:si>
    <x:t xml:space="preserve">3 - Defined</x:t>
  </x:si>
  <x:si>
    <x:t xml:space="preserve">4 - Capable</x:t>
  </x:si>
  <x:si>
    <x:t xml:space="preserve">5 - Efficient</x:t>
  </x:si>
  <x:si>
    <x:t xml:space="preserve">Your Score (1-5)</x:t>
  </x:si>
  <x:si>
    <x:t xml:space="preserve">FOUNDATIONAL DOMAINS   -   Core, critical categories to ensure availability of a secure enterprise AI baseline</x:t>
  </x:si>
  <x:si>
    <x:t xml:space="preserve">Governance
AI usage policies, safety &amp; ethics, and oversight</x:t>
  </x:si>
  <x:si>
    <x:t xml:space="preserve">No coordinated AI governance. Teams self-manage with self-selected tools and providers. No AI-specific policies or safety/ethics guidance.</x:t>
  </x:si>
  <x:si>
    <x:t xml:space="preserve">Initial usage policies established (e.g., no sensitive data in GenAI). No governance structure. High-level safety/ethics statements included.</x:t>
  </x:si>
  <x:si>
    <x:t xml:space="preserve">AI Council or CoE in place. Initial policies for AI development and applications. AICM adoption begun. Deployment registry established. General AI safety guidelines in place.</x:t>
  </x:si>
  <x:si>
    <x:t xml:space="preserve">Central AI team with authority to set rules. Developer policies with training. AI security control objectives with initial automated tracking. Cross-functional ethics review for high-risk use cases.</x:t>
  </x:si>
  <x:si>
    <x:t xml:space="preserve">Governance monitored via automated tooling (model/provider compliance, guardrails coverage, agent/MCP registries). AI ethics review board with enforcement authority.</x:t>
  </x:si>
  <x:si>
    <x:t xml:space="preserve">Organization Management
AI discovery, inventory &amp; enforcement</x:t>
  </x:si>
  <x:si>
    <x:t xml:space="preserve">No visibility into enterprise AI usage. Teams self-manage tools and services. No technical controls to restrict AI service usage.</x:t>
  </x:si>
  <x:si>
    <x:t xml:space="preserve">AI usage tracked through available means (billing, telemetry, surveys). Enforcement is policy-based. Baseline AI-feature settings for major SaaS platforms (e.g. M365 Copilot).</x:t>
  </x:si>
  <x:si>
    <x:t xml:space="preserve">Org-level policy controls on primary cloud (SCPs, Azure Policy, GCP Org Policy). Enterprise AI coding assistants centrally managed. Dedicated AI workload accounts.</x:t>
  </x:si>
  <x:si>
    <x:t xml:space="preserve">Consistent AI org-policy enforcement across all clouds. Automated AI discovery via AI-SPM, CSPM, EDR, CASB. Deployment isolation across accounts/environments.</x:t>
  </x:si>
  <x:si>
    <x:t xml:space="preserve">Policy-as-code for AI enforcement in CI/CD. Continuous automated discovery. Proactive response to new AI provider model/service releases.</x:t>
  </x:si>
  <x:si>
    <x:t xml:space="preserve">IAM
Human &amp; non-human identity, agents, and MCP</x:t>
  </x:si>
  <x:si>
    <x:t xml:space="preserve">Personal or shared credentials. Agents inherit full user permissions. API keys broad-scoped. No MCP authorization.</x:t>
  </x:si>
  <x:si>
    <x:t xml:space="preserve">Initial service accounts. SSO for enterprise AI apps. Basic OAuth. Agent permissions defined but not scoped to tasks. MCP servers use static API keys.</x:t>
  </x:si>
  <x:si>
    <x:t xml:space="preserve">Per-workload NHIs with managed credential lifecycle. PaaS/SaaS provider IAM hardened to standard. OAuth-based MCP authorization with named scopes.</x:t>
  </x:si>
  <x:si>
    <x:t xml:space="preserve">Per-agent NHI federated to enterprise IdP. Dual-identity delegation and consent for on-behalf-of flows. MCP fine-grained scopes with deny-by-default policy-as-code.</x:t>
  </x:si>
  <x:si>
    <x:t xml:space="preserve">JIT ephemeral credentials wired into agent pipelines. Delegation-chain validation across multi-agent workflows. Policy-as-code agent authorization with intent-binding.</x:t>
  </x:si>
  <x:si>
    <x:t xml:space="preserve">Security Monitoring
AI logging, alerts, prompts &amp; agent actions</x:t>
  </x:si>
  <x:si>
    <x:t xml:space="preserve">No AI-specific monitoring. Reliance on provider defaults. No visibility into prompts, agent actions, or AI usage.</x:t>
  </x:si>
  <x:si>
    <x:t xml:space="preserve">Provider invocation logs enabled and retained. Token/cost telemetry reviewed monthly. Named owner for the AI logging pipeline.</x:t>
  </x:si>
  <x:si>
    <x:t xml:space="preserve">Prompt, response, and agent-action telemetry centralized in SIEM. AI-specific detection content with routed alerts (guardrail violations, volume anomalies, tool misuse).</x:t>
  </x:si>
  <x:si>
    <x:t xml:space="preserve">End-to-end auditability for agent and delegation chains. Baseline-derived AI threat detection at SOC cadence. Sensitive-data detection on AI flows in SIEM.</x:t>
  </x:si>
  <x:si>
    <x:t xml:space="preserve">Automated response for high-severity AI events via SOAR. AI threat hunting program on documented cadence. Cross-deployment behavioral baselines.</x:t>
  </x:si>
  <x:si>
    <x:t xml:space="preserve">STRUCTURAL DOMAINS   -   Categories to protect the building blocks of your AI deployments</x:t>
  </x:si>
  <x:si>
    <x:t xml:space="preserve">Infrastructure Security &amp; Resilience
Compute, network, and cloud infra for AI</x:t>
  </x:si>
  <x:si>
    <x:t xml:space="preserve">AI on general-purpose infrastructure with default security. No dedicated or isolated environments. No infrastructure differentiation in vulnerability management.</x:t>
  </x:si>
  <x:si>
    <x:t xml:space="preserve">Separation of dev, training, and production environments. AI hosting infrastructure included in standard vulnerability management.</x:t>
  </x:si>
  <x:si>
    <x:t xml:space="preserve">Standardized AI infrastructure architecture with IaC and security baselines. CSPM/CNAPP coverage with AI-specific rule pack. Network isolation with deny-by-default egress.</x:t>
  </x:si>
  <x:si>
    <x:t xml:space="preserve">Runtime security in prevention mode on AI hosts. IaC pipeline security gates. Resilience for AI-specific stateful components (vector stores, model artifacts). Initial ZTA on named planes.</x:t>
  </x:si>
  <x:si>
    <x:t xml:space="preserve">Zero trust extended to all AI infrastructure planes. Immutable infrastructure patterns. Confidential computing for high-sensitivity workloads.</x:t>
  </x:si>
  <x:si>
    <x:t xml:space="preserve">Model Security
Selection, integrity, safety, and monitoring</x:t>
  </x:si>
  <x:si>
    <x:t xml:space="preserve">Models deployed without security or safety review. No integrity controls. Default provider configurations without assessment.</x:t>
  </x:si>
  <x:si>
    <x:t xml:space="preserve">Basic security requirements documented. Third-party/open models undergo risk review. Initial configuration reviews for PaaS/API models.</x:t>
  </x:si>
  <x:si>
    <x:t xml:space="preserve">Standardized security and safety requirements by deployment type. Approved model registry with pinned versions in production. Baseline production monitoring of model behavior.</x:t>
  </x:si>
  <x:si>
    <x:t xml:space="preserve">Model signing, load-time verification, and provenance attestation for self-hosted. Adversarial and bias testing at model layer. Drift monitoring with routed alerts.</x:t>
  </x:si>
  <x:si>
    <x:t xml:space="preserve">CI/CD pipeline gating on model registry updates. Automated feeds detect provider-side changes. Proactive impact assessment within defined SLA.</x:t>
  </x:si>
  <x:si>
    <x:t xml:space="preserve">App Security
Guardrails, agents, MCPs, and runtime protection</x:t>
  </x:si>
  <x:si>
    <x:t xml:space="preserve">Traditional AppSec only. No AI input/output validation. Prompt injection unaddressed. No guardrails. Agents deployed without security boundaries.</x:t>
  </x:si>
  <x:si>
    <x:t xml:space="preserve">AI-specific risks identified (prompt injection, insecure outputs). Initial input/output validation. Guardrails for some high-risk apps. Basic API security for AI endpoints.</x:t>
  </x:si>
  <x:si>
    <x:t xml:space="preserve">AI AppSec baseline with attested conformance. Agent tool allowlist with deny-by-default. MCP servers reviewed pre-deployment. Sandboxed runtimes for high-risk agent types.</x:t>
  </x:si>
  <x:si>
    <x:t xml:space="preserve">Centralized AI gateway for production AI traffic. Deterministic boundaries on agent execution. App-stack adversarial testing with layer attribution integrated in CI/CD.</x:t>
  </x:si>
  <x:si>
    <x:t xml:space="preserve">Guardrail tuning loop on defined SLA using threat intel and red-team findings. Shared agent policy baseline. Qualified independent red-team exercises.</x:t>
  </x:si>
  <x:si>
    <x:t xml:space="preserve">Data Security
Training data, RAG, vector stores, and privacy</x:t>
  </x:si>
  <x:si>
    <x:t xml:space="preserve">AI data repos rely on general-purpose controls. No differentiation for AI data assets. Vector databases on default access controls.</x:t>
  </x:si>
  <x:si>
    <x:t xml:space="preserve">AI-specific data risks identified (poisoning, RAG leakage). Training data sources documented. Basic vector DB access controls and source approval.</x:t>
  </x:si>
  <x:si>
    <x:t xml:space="preserve">Approval gate on AI data sources with data classification and sensitive-data scan. Vector store tenant isolation with cross-context denial test. Input/output PII filtering on production apps.</x:t>
  </x:si>
  <x:si>
    <x:t xml:space="preserve">Permission-aware retrieval for RAG over access-controlled sources. Approved-source allowlist with provenance metadata enforced across all production AI.</x:t>
  </x:si>
  <x:si>
    <x:t xml:space="preserve">RAG citations with continuous source posture monitoring. Automated quarantine and revocation. Poisoning and adversarial-pattern scanning on training and RAG content.</x:t>
  </x:si>
  <x:si>
    <x:t xml:space="preserve">PROCEDURAL DOMAINS   -   Processes needed to protect your AI applications and use of AI tools and services</x:t>
  </x:si>
  <x:si>
    <x:t xml:space="preserve">Risk &amp; Provider Assessment
Provider selection, 3rd-party risk, and AI projects</x:t>
  </x:si>
  <x:si>
    <x:t xml:space="preserve">No AI-specific risk assessment. Providers selected by business units without security. No registry of approved providers or models.</x:t>
  </x:si>
  <x:si>
    <x:t xml:space="preserve">Security assesses major AI providers when requested. Informal provider registry. Basic criteria (data handling, SOC 2). Inconsistent engagement in project risk assessments.</x:t>
  </x:si>
  <x:si>
    <x:t xml:space="preserve">AI provider/model assessment using industry frameworks (AI-CAIQ, AICM). Major provider registry with data classification approvals. Scheduled provider reassessment (at least annually).</x:t>
  </x:si>
  <x:si>
    <x:t xml:space="preserve">Provider changes trigger reassessment within SLA. AI risk rating integrated into enterprise application risk registry. Documented treatment plans or risk acceptances for all critical findings.</x:t>
  </x:si>
  <x:si>
    <x:t xml:space="preserve">Automated AI discovery feeds risk process. Rapid frontier-release assessment with executive AI risk dashboard. Risk registries integrated with AI-SPM/CSPM discovery tooling.</x:t>
  </x:si>
  <x:si>
    <x:t xml:space="preserve">AI Dev &amp; Supply Chain
Coding assistants, AI-BOM, and supply chain</x:t>
  </x:si>
  <x:si>
    <x:t xml:space="preserve">No controls over AI coding assistants. No supply chain visibility for AI components. No AI-specific assessment of libraries or models.</x:t>
  </x:si>
  <x:si>
    <x:t xml:space="preserve">AI coding tool risks identified. Approved tools documented but enforcement inconsistent. AI components tracked in inventory. Basic guidance on coding tool usage.</x:t>
  </x:si>
  <x:si>
    <x:t xml:space="preserve">Enterprise AI coding assistant configured to prevent code exposure. Structured AI supply chain inventory with package proxy. AI security assessment in CI/CD for critical apps.</x:t>
  </x:si>
  <x:si>
    <x:t xml:space="preserve">AI security assessment expanded to all production AI apps. AI-BOM generated per release. AI-specific SAST/SCA and security-agent scanning. Model provenance verification for self-hosted.</x:t>
  </x:si>
  <x:si>
    <x:t xml:space="preserve">Automated remediation suggestions across IDE, PR, and pipeline. Comprehensive AI-BOM with supply chain vulnerability alerting. Proactive alerts blast-radius routed to owning teams.</x:t>
  </x:si>
  <x:si>
    <x:t xml:space="preserve">Privacy, Compliance &amp; Audit
Regulatory, licensing, AI-CAIQ, and ethics</x:t>
  </x:si>
  <x:si>
    <x:t xml:space="preserve">No AI-specific compliance actions. AI treated same as any other application. No model or training data licensing tracked.</x:t>
  </x:si>
  <x:si>
    <x:t xml:space="preserve">AI compliance requirements identified (EU AI Act, GDPR, sector rules). Ad hoc assessments. Initial model and dataset licensing documented for some deployments.</x:t>
  </x:si>
  <x:si>
    <x:t xml:space="preserve">Scheduled compliance assessments against AI governance policies. AI privacy impact assessments for personal data. License-fit verification. AI-CAIQ for external-facing apps.</x:t>
  </x:si>
  <x:si>
    <x:t xml:space="preserve">Automated compliance evidence tied to deployment registry. Bias and fairness audits for high-risk AI. Automated license tracking and AI-CAIQ generation from AI-BOM pipeline.</x:t>
  </x:si>
  <x:si>
    <x:t xml:space="preserve">Pipeline-gated safety and ethics policy conformance. Live compliance dashboard with automated evidence. Regulatory-change intelligence with cascading impact assessment.</x:t>
  </x:si>
  <x:si>
    <x:t xml:space="preserve">Incident Response
AI-specific IR, agentic threats, and forensics</x:t>
  </x:si>
  <x:si>
    <x:t xml:space="preserve">No AI-specific IR. AI incidents handled ad hoc. IR team unaware of AI attack types. No AI-specific telemetry collection.</x:t>
  </x:si>
  <x:si>
    <x:t xml:space="preserve">Named AI IR team with AI addendum to IR plan. Baseline telemetry preserved (prompts, responses, tool calls) with pre-provisioned responder access.</x:t>
  </x:si>
  <x:si>
    <x:t xml:space="preserve">AI-specific playbooks for named attack categories (prompt injection, agent hijacking, tool misuse, MCP compromise). Responders trained with pre-provisioned read access.</x:t>
  </x:si>
  <x:si>
    <x:t xml:space="preserve">AI threat intelligence operationalized into detection and playbooks. SOAR automation for common AI containment actions. Break-glass administrative containment access.</x:t>
  </x:si>
  <x:si>
    <x:t xml:space="preserve">Automated response for agentic threat patterns (agent hijacking, MCP attacks, memory manipulation). Tamper-evident telemetry for forensic reconstruction. ChatOps engagement and detection-rule.</x:t>
  </x:si>
  <x:si>
    <x:t xml:space="preserve">AI Security Maturity Dashboard</x:t>
  </x:si>
  <x:si>
    <x:t xml:space="preserve">CSA AI Security Maturity Model (AISMM)</x:t>
  </x:si>
  <x:si>
    <x:t xml:space="preserve">Category / Domain</x:t>
  </x:si>
  <x:si>
    <x:t xml:space="preserve">Score</x:t>
  </x:si>
  <x:si>
    <x:t xml:space="preserve">Level</x:t>
  </x:si>
  <x:si>
    <x:t xml:space="preserve">Maturity stage</x:t>
  </x:si>
  <x:si>
    <x:t xml:space="preserve">Domain</x:t>
  </x:si>
  <x:si>
    <x:t xml:space="preserve">Governance</x:t>
  </x:si>
  <x:si>
    <x:t xml:space="preserve">Foundational</x:t>
  </x:si>
  <x:si>
    <x:t xml:space="preserve">Organization Management</x:t>
  </x:si>
  <x:si>
    <x:t xml:space="preserve">Structural</x:t>
  </x:si>
  <x:si>
    <x:t xml:space="preserve">IAM</x:t>
  </x:si>
  <x:si>
    <x:t xml:space="preserve">Procedural</x:t>
  </x:si>
  <x:si>
    <x:t xml:space="preserve">Security Monitoring</x:t>
  </x:si>
  <x:si>
    <x:t xml:space="preserve">Foundational Domains  (avg)</x:t>
  </x:si>
  <x:si>
    <x:t xml:space="preserve">Infrastructure Security &amp; Resilience</x:t>
  </x:si>
  <x:si>
    <x:t xml:space="preserve">Model Security</x:t>
  </x:si>
  <x:si>
    <x:t xml:space="preserve">App Security</x:t>
  </x:si>
  <x:si>
    <x:t xml:space="preserve">Data Security</x:t>
  </x:si>
  <x:si>
    <x:t xml:space="preserve">Risk &amp; Provider Assessment</x:t>
  </x:si>
  <x:si>
    <x:t xml:space="preserve">Structural Domains  (avg)</x:t>
  </x:si>
  <x:si>
    <x:t xml:space="preserve">AI Dev &amp; Supply Chain</x:t>
  </x:si>
  <x:si>
    <x:t xml:space="preserve">Privacy, Compliance &amp; Audit</x:t>
  </x:si>
  <x:si>
    <x:t xml:space="preserve">Incident Response</x:t>
  </x:si>
  <x:si>
    <x:t xml:space="preserve">Procedural Domains  (avg)</x:t>
  </x:si>
  <x:si>
    <x:t xml:space="preserve">Maturity scale</x:t>
  </x:si>
  <x:si>
    <x:t xml:space="preserve">1.0-1.4</x:t>
  </x:si>
  <x:si>
    <x:t xml:space="preserve">Initial - ad hoc, no AI-specific controls</x:t>
  </x:si>
  <x:si>
    <x:t xml:space="preserve">1.5-2.4</x:t>
  </x:si>
  <x:si>
    <x:t xml:space="preserve">Repeatable - basic controls, inconsistent</x:t>
  </x:si>
  <x:si>
    <x:t xml:space="preserve">2.5-3.4</x:t>
  </x:si>
  <x:si>
    <x:t xml:space="preserve">Defined - standardized and documented</x:t>
  </x:si>
  <x:si>
    <x:t xml:space="preserve">3.5-4.4</x:t>
  </x:si>
  <x:si>
    <x:t xml:space="preserve">Capable - enforced, automated, measured</x:t>
  </x:si>
  <x:si>
    <x:t xml:space="preserve">4.5-5.0</x:t>
  </x:si>
  <x:si>
    <x:t xml:space="preserve">Efficient - continuously optimized, proactive</x:t>
  </x:si>
  <x:si>
    <x:t xml:space="preserve">Source: CSA AI Security Maturity Model (AISMM), 2026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</x:si>
</x:sst>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25">
    <x:font>
      <x:sz val="11"/>
      <x:color theme="1"/>
      <x:name val="Calibri"/>
      <x:family val="2"/>
    </x:font>
    <x:font>
      <x:b/>
      <x:sz val="20"/>
      <x:color rgb="FF1F3864"/>
      <x:name val="Arial"/>
    </x:font>
    <x:font>
      <x:i/>
      <x:sz val="12"/>
      <x:color rgb="FF808080"/>
      <x:name val="Arial"/>
    </x:font>
    <x:font>
      <x:b/>
      <x:sz val="13"/>
      <x:color rgb="FF2E5496"/>
      <x:name val="Arial"/>
    </x:font>
    <x:font>
      <x:sz val="10.5"/>
      <x:color rgb="FF000000"/>
      <x:name val="Arial"/>
    </x:font>
    <x:font>
      <x:i/>
      <x:sz val="9"/>
      <x:color rgb="FF808080"/>
      <x:name val="Arial"/>
    </x:font>
    <x:font>
      <x:b/>
      <x:sz val="16"/>
      <x:color rgb="FFFFFFFF"/>
      <x:name val="Arial"/>
    </x:font>
    <x:font>
      <x:i/>
      <x:sz val="10"/>
      <x:color rgb="FF808080"/>
      <x:name val="Arial"/>
    </x:font>
    <x:font>
      <x:b/>
      <x:sz val="10"/>
      <x:color rgb="FFFFFFFF"/>
      <x:name val="Arial"/>
    </x:font>
    <x:font>
      <x:b/>
      <x:sz val="10.5"/>
      <x:color rgb="FFFFFFFF"/>
      <x:name val="Arial"/>
    </x:font>
    <x:font>
      <x:b/>
      <x:sz val="10.5"/>
      <x:color rgb="FF1F3864"/>
      <x:name val="Arial"/>
    </x:font>
    <x:font>
      <x:sz val="9"/>
      <x:color rgb="FF000000"/>
      <x:name val="Arial"/>
    </x:font>
    <x:font>
      <x:b/>
      <x:sz val="12"/>
      <x:color rgb="FF2E5496"/>
      <x:name val="Arial"/>
    </x:font>
    <x:font>
      <x:b/>
      <x:sz val="18"/>
      <x:color rgb="FF1F3864"/>
      <x:name val="Arial"/>
    </x:font>
    <x:font>
      <x:i/>
      <x:sz val="11"/>
      <x:color rgb="FF808080"/>
      <x:name val="Arial"/>
    </x:font>
    <x:font>
      <x:b/>
      <x:sz val="9"/>
      <x:color rgb="FF000000"/>
      <x:name val="Arial"/>
    </x:font>
    <x:font>
      <x:sz val="10"/>
      <x:color rgb="FF000000"/>
      <x:name val="Arial"/>
    </x:font>
    <x:font>
      <x:b/>
      <x:sz val="10"/>
      <x:color rgb="FF1F3864"/>
      <x:name val="Arial"/>
    </x:font>
    <x:font>
      <x:b/>
      <x:sz val="11"/>
      <x:color rgb="FFFFFFFF"/>
      <x:name val="Arial"/>
    </x:font>
    <x:font>
      <x:b/>
      <x:sz val="12"/>
      <x:color rgb="FFFFFFFF"/>
      <x:name val="Arial"/>
    </x:font>
    <x:font>
      <x:b/>
      <x:sz val="11"/>
      <x:color rgb="FF2E5496"/>
      <x:name val="Arial"/>
    </x:font>
    <x:font>
      <x:b/>
      <x:sz val="10"/>
      <x:color rgb="FF000000"/>
      <x:name val="Arial"/>
    </x:font>
    <x:font>
      <x:i/>
      <x:sz val="8.5"/>
      <x:color rgb="FF808080"/>
      <x:name val="Arial"/>
    </x:font>
    <x:font>
      <x:sz val="10.5"/>
      <x:color rgb="FF000000"/>
      <x:name val="Arial"/>
      <x:family val="2"/>
    </x:font>
    <x:font>
      <x:b/>
      <x:sz val="13"/>
      <x:color rgb="FF2E5496"/>
      <x:name val="Arial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1F6FB2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2E8B6F"/>
      </x:patternFill>
    </x:fill>
    <x:fill>
      <x:patternFill patternType="solid">
        <x:fgColor rgb="FF9A6A2E"/>
      </x:patternFill>
    </x:fill>
    <x:fill>
      <x:patternFill patternType="solid">
        <x:fgColor rgb="FFEAF0FA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 applyAlignment="1">
      <x:alignment horizontal="left" vertical="top" wrapText="1"/>
    </x:xf>
    <x:xf numFmtId="0" fontId="5" fillId="0" borderId="0" xfId="0" applyFont="1"/>
    <x:xf numFmtId="0" fontId="8" fillId="3" borderId="1" xfId="0" applyFont="1" applyFill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top" wrapText="1"/>
    </x:xf>
    <x:xf numFmtId="0" fontId="11" fillId="5" borderId="1" xfId="0" applyFont="1" applyFill="1" applyBorder="1" applyAlignment="1">
      <x:alignment horizontal="left" vertical="top" wrapText="1"/>
    </x:xf>
    <x:xf numFmtId="0" fontId="11" fillId="6" borderId="1" xfId="0" applyFont="1" applyFill="1" applyBorder="1" applyAlignment="1">
      <x:alignment horizontal="left" vertical="top" wrapText="1"/>
    </x:xf>
    <x:xf numFmtId="0" fontId="12" fillId="7" borderId="1" xfId="0" applyFont="1" applyFill="1" applyBorder="1" applyAlignment="1">
      <x:alignment horizontal="center" vertical="center"/>
    </x:xf>
    <x:xf numFmtId="0" fontId="8" fillId="3" borderId="1" xfId="0" applyFont="1" applyFill="1" applyBorder="1" applyAlignment="1">
      <x:alignment horizontal="center" vertical="center"/>
    </x:xf>
    <x:xf numFmtId="0" fontId="15" fillId="0" borderId="0" xfId="0" applyFont="1"/>
    <x:xf numFmtId="0" fontId="16" fillId="0" borderId="1" xfId="0" applyFont="1" applyBorder="1" applyAlignment="1">
      <x:alignment horizontal="left" vertical="center"/>
    </x:xf>
    <x:xf numFmtId="1" fontId="17" fillId="10" borderId="1" xfId="0" applyNumberFormat="1" applyFont="1" applyFill="1" applyBorder="1" applyAlignment="1">
      <x:alignment horizontal="center" vertical="center"/>
    </x:xf>
    <x:xf numFmtId="0" fontId="16" fillId="0" borderId="1" xfId="0" applyFont="1" applyBorder="1" applyAlignment="1">
      <x:alignment horizontal="center" vertical="center"/>
    </x:xf>
    <x:xf numFmtId="0" fontId="11" fillId="0" borderId="0" xfId="0" applyFont="1"/>
    <x:xf numFmtId="1" fontId="11" fillId="0" borderId="0" xfId="0" applyNumberFormat="1" applyFont="1"/>
    <x:xf numFmtId="164" fontId="11" fillId="0" borderId="0" xfId="0" applyNumberFormat="1" applyFont="1"/>
    <x:xf numFmtId="0" fontId="8" fillId="4" borderId="1" xfId="0" applyFont="1" applyFill="1" applyBorder="1" applyAlignment="1">
      <x:alignment horizontal="left" vertical="center"/>
    </x:xf>
    <x:xf numFmtId="164" fontId="8" fillId="4" borderId="1" xfId="0" applyNumberFormat="1" applyFont="1" applyFill="1" applyBorder="1" applyAlignment="1">
      <x:alignment horizontal="center" vertical="center"/>
    </x:xf>
    <x:xf numFmtId="0" fontId="8" fillId="4" borderId="1" xfId="0" applyFont="1" applyFill="1" applyBorder="1" applyAlignment="1">
      <x:alignment horizontal="center" vertical="center"/>
    </x:xf>
    <x:xf numFmtId="0" fontId="8" fillId="8" borderId="1" xfId="0" applyFont="1" applyFill="1" applyBorder="1" applyAlignment="1">
      <x:alignment horizontal="left" vertical="center"/>
    </x:xf>
    <x:xf numFmtId="164" fontId="8" fillId="8" borderId="1" xfId="0" applyNumberFormat="1" applyFont="1" applyFill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8" fillId="9" borderId="1" xfId="0" applyFont="1" applyFill="1" applyBorder="1" applyAlignment="1">
      <x:alignment horizontal="left" vertical="center"/>
    </x:xf>
    <x:xf numFmtId="164" fontId="8" fillId="9" borderId="1" xfId="0" applyNumberFormat="1" applyFont="1" applyFill="1" applyBorder="1" applyAlignment="1">
      <x:alignment horizontal="center" vertical="center"/>
    </x:xf>
    <x:xf numFmtId="0" fontId="8" fillId="9" borderId="1" xfId="0" applyFont="1" applyFill="1" applyBorder="1" applyAlignment="1">
      <x:alignment horizontal="center" vertical="center"/>
    </x:xf>
    <x:xf numFmtId="0" fontId="18" fillId="2" borderId="1" xfId="0" applyFont="1" applyFill="1" applyBorder="1" applyAlignment="1">
      <x:alignment horizontal="left" vertical="center"/>
    </x:xf>
    <x:xf numFmtId="164" fontId="19" fillId="2" borderId="1" xfId="0" applyNumberFormat="1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20" fillId="0" borderId="0" xfId="0" applyFont="1"/>
    <x:xf numFmtId="0" fontId="21" fillId="0" borderId="0" xfId="0" applyFont="1"/>
    <x:xf numFmtId="0" fontId="23" fillId="0" borderId="0" xfId="0" applyFont="1" applyAlignment="1">
      <x:alignment horizontal="left" vertical="top" wrapText="1"/>
    </x:xf>
    <x:xf numFmtId="0" fontId="24" fillId="0" borderId="0" xfId="0" applyFont="1"/>
    <x:xf numFmtId="0" fontId="16" fillId="0" borderId="0" xfId="0" applyFont="1"/>
    <x:xf numFmtId="0" fontId="22" fillId="0" borderId="0" xfId="0" applyFont="1"/>
    <x:xf numFmtId="0" fontId="13" fillId="0" borderId="0" xfId="0" applyFont="1"/>
    <x:xf numFmtId="0" fontId="14" fillId="0" borderId="0" xfId="0" applyFont="1"/>
    <x:xf numFmtId="0" fontId="6" fillId="2" borderId="0" xfId="0" applyFont="1" applyFill="1" applyAlignment="1">
      <x:alignment horizontal="left" vertical="center"/>
    </x:xf>
    <x:xf numFmtId="0" fontId="7" fillId="0" borderId="0" xfId="0" applyFont="1"/>
    <x:xf numFmtId="0" fontId="9" fillId="4" borderId="0" xfId="0" applyFont="1" applyFill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1" fontId="0" fillId="0" borderId="0" xfId="0" applyNumberFormat="1"/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9A6A2E"/>
      <x:rgbColor rgb="FF800080"/>
      <x:rgbColor rgb="FF008080"/>
      <x:rgbColor rgb="FFBFBFBF"/>
      <x:rgbColor rgb="FF808080"/>
      <x:rgbColor rgb="FF9999FF"/>
      <x:rgbColor rgb="FF993366"/>
      <x:rgbColor rgb="FFFFF2CC"/>
      <x:rgbColor rgb="FFEAF0FA"/>
      <x:rgbColor rgb="FF660066"/>
      <x:rgbColor rgb="FFFF8080"/>
      <x:rgbColor rgb="FF1F6FB2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2E8B6F"/>
      <x:rgbColor rgb="FF003300"/>
      <x:rgbColor rgb="FF333300"/>
      <x:rgbColor rgb="FF993300"/>
      <x:rgbColor rgb="FF993366"/>
      <x:rgbColor rgb="FF2E5496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b198e82164fc9" /><Relationship Type="http://schemas.openxmlformats.org/officeDocument/2006/relationships/theme" Target="/xl/theme/theme1.xml" Id="R38a916f23de649bc" /><Relationship Type="http://schemas.openxmlformats.org/officeDocument/2006/relationships/sharedStrings" Target="/xl/sharedStrings.xml" Id="R1eaca6b180ec4304" /><Relationship Type="http://schemas.openxmlformats.org/officeDocument/2006/relationships/worksheet" Target="/xl/worksheets/sheet1.xml" Id="R60d3e9b698704cd9" /><Relationship Type="http://schemas.openxmlformats.org/officeDocument/2006/relationships/worksheet" Target="/xl/worksheets/sheet2.xml" Id="R2ec8941876ab4f33" /><Relationship Type="http://schemas.openxmlformats.org/officeDocument/2006/relationships/worksheet" Target="/xl/worksheets/sheet3.xml" Id="R236bc3fa755c4105" /><Relationship Type="http://schemas.openxmlformats.org/officeDocument/2006/relationships/worksheet" Target="/xl/worksheets/sheet4.xml" Id="Rb1f9dcddc6744d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f677b1009243e1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18"/>
    </mc:Choice>
    <mc:Fallback>
      <c:style val="18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AISMM maturity by domain</a:t>
            </a:r>
          </a:p>
        </c:rich>
      </c:tx>
      <c:overlay val="0"/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'Chart Data'!$A$2</c:f>
              <c:strCache>
                <c:ptCount val="1"/>
                <c:pt idx="0">
                  <c:v>Score</c:v>
                </c:pt>
              </c:strCache>
            </c:strRef>
          </c:tx>
          <c:cat>
            <c:strRef>
              <c:f>'Chart Data'!$B$1:$D$1</c:f>
              <c:strCache>
                <c:ptCount val="3"/>
                <c:pt idx="0">
                  <c:v>Foundational</c:v>
                </c:pt>
                <c:pt idx="1">
                  <c:v>Structural</c:v>
                </c:pt>
                <c:pt idx="2">
                  <c:v>Procedural</c:v>
                </c:pt>
              </c:strCache>
            </c:strRef>
          </c:cat>
          <c:val>
            <c:numRef>
              <c:f>'Chart Data'!$B$2:$D$2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449293535"/>
        <c:axId val="1449296415"/>
      </c:radarChart>
      <c:catAx>
        <c:axId val="1449293535"/>
        <c:scaling>
          <c:orientation val="minMax"/>
        </c:scaling>
        <c:delete val="0"/>
        <c:axPos val="b"/>
        <c:majorGridlines>
          <c:spPr>
            <a:ln xmlns:a="http://schemas.openxmlformats.org/drawingml/2006/main" w="12700">
              <a:solidFill>
                <a:srgbClr val="B7C3D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400" b="1"/>
            </a:pPr>
          </a:p>
        </c:txPr>
        <c:crossAx val="1449296415"/>
        <c:crosses val="autoZero"/>
        <c:lblAlgn val="ctr"/>
        <c:noMultiLvlLbl val="0"/>
        <c:lblOffset val="100"/>
      </c:catAx>
      <c:valAx>
        <c:axId val="1449296415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12700">
              <a:solidFill>
                <a:srgbClr val="B7C3D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crossAx val="1449293535"/>
        <c:crosses val="autoZero"/>
        <c:crossBetween val="between"/>
        <c:majorUnit val="1"/>
      </c:valAx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5</xdr:col>
      <xdr:colOff>209549</xdr:colOff>
      <xdr:row>4</xdr:row>
      <xdr:rowOff>0</xdr:rowOff>
    </xdr:from>
    <xdr:to>
      <xdr:col>19</xdr:col>
      <xdr:colOff>82550</xdr:colOff>
      <xdr:row>23</xdr:row>
      <xdr:rowOff>12700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f677b1009243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4871db2ac4044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5"/>
  <x:cols>
    <x:col min="1" max="1" width="3" customWidth="1"/>
    <x:col min="2" max="2" width="104" customWidth="1"/>
  </x:cols>
  <x:sheetData>
    <x:row r="2" ht="25">
      <x:c r="B2" s="1" t="s">
        <x:v>0</x:v>
      </x:c>
    </x:row>
    <x:row r="3" ht="15.5">
      <x:c r="B3" s="2" t="s">
        <x:v>1</x:v>
      </x:c>
    </x:row>
    <x:row r="5" ht="16.5">
      <x:c r="B5" s="3" t="s">
        <x:v>2</x:v>
      </x:c>
    </x:row>
    <x:row r="6">
      <x:c r="B6" s="4" t="s">
        <x:v>3</x:v>
      </x:c>
    </x:row>
    <x:row r="7" ht="27">
      <x:c r="B7" s="4" t="s">
        <x:v>4</x:v>
      </x:c>
    </x:row>
    <x:row r="8">
      <x:c r="B8" s="4" t="s">
        <x:v>5</x:v>
      </x:c>
    </x:row>
    <x:row r="9">
      <x:c r="B9" s="4" t="str">
        <x:v>4.  Score every category. Domain averages need all 4 valid scores; the overall average needs all 12.</x:v>
      </x:c>
    </x:row>
    <x:row r="10">
      <x:c r="B10" s="4" t="str">
        <x:v>5.  Review the Dashboard. Summary scores are indicative averages, not a formal maturity rating.</x:v>
      </x:c>
    </x:row>
    <x:row r="11">
      <x:c r="B11" s="4"/>
    </x:row>
    <x:row r="12" ht="16.5">
      <x:c r="B12" s="3" t="s">
        <x:v>6</x:v>
      </x:c>
    </x:row>
    <x:row r="13" ht="27">
      <x:c r="B13" s="4" t="s">
        <x:v>7</x:v>
      </x:c>
    </x:row>
    <x:row r="14">
      <x:c r="B14" s="4"/>
    </x:row>
    <x:row r="15" ht="16.5">
      <x:c r="B15" s="34" t="s">
        <x:v>8</x:v>
      </x:c>
    </x:row>
    <x:row r="16">
      <x:c r="B16" s="33" t="s">
        <x:v>9</x:v>
      </x:c>
    </x:row>
    <x:row r="17" ht="27">
      <x:c r="B17" s="33" t="s">
        <x:v>10</x:v>
      </x:c>
    </x:row>
    <x:row r="18" ht="27">
      <x:c r="B18" s="33" t="s">
        <x:v>11</x:v>
      </x:c>
    </x:row>
    <x:row r="19">
      <x:c r="B19" s="4"/>
    </x:row>
    <x:row r="20" ht="16.5">
      <x:c r="B20" s="3" t="s">
        <x:v>12</x:v>
      </x:c>
    </x:row>
    <x:row r="21">
      <x:c r="B21" s="33" t="s">
        <x:v>13</x:v>
      </x:c>
    </x:row>
    <x:row r="22">
      <x:c r="B22" s="33" t="s">
        <x:v>14</x:v>
      </x:c>
    </x:row>
    <x:row r="23">
      <x:c r="B23" s="33" t="s">
        <x:v>15</x:v>
      </x:c>
    </x:row>
    <x:row r="24">
      <x:c r="B24" s="33" t="s">
        <x:v>16</x:v>
      </x:c>
    </x:row>
    <x:row r="25">
      <x:c r="B25" s="33" t="s">
        <x:v>17</x:v>
      </x:c>
    </x:row>
    <x:row r="26">
      <x:c r="B26" s="4"/>
    </x:row>
    <x:row r="27">
      <x:c r="B27" s="5" t="s">
        <x:v>18</x:v>
      </x:c>
    </x:row>
  </x:sheetData>
  <x:pageMargins left="0.75" right="0.75" top="1" bottom="1" header="0.511811023622047" footer="0.511811023622047"/>
  <x:pageSetup paperSize="9" orientation="portrait" horizontalDpi="300" verticalDpi="30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328125" defaultRowHeight="14.5"/>
  <x:cols>
    <x:col min="1" max="1" width="30" customWidth="1"/>
    <x:col min="2" max="6" width="25" customWidth="1"/>
    <x:col min="7" max="7" width="12" customWidth="1"/>
  </x:cols>
  <x:sheetData>
    <x:row r="1" ht="27.75" customHeight="1">
      <x:c r="A1" s="39" t="s">
        <x:v>19</x:v>
      </x:c>
      <x:c r="B1" s="39"/>
      <x:c r="C1" s="39"/>
      <x:c r="D1" s="39"/>
      <x:c r="E1" s="39"/>
      <x:c r="F1" s="39"/>
      <x:c r="G1" s="39"/>
    </x:row>
    <x:row r="2" ht="18" customHeight="1">
      <x:c r="A2" s="40" t="s">
        <x:v>20</x:v>
      </x:c>
      <x:c r="B2" s="40"/>
      <x:c r="C2" s="40"/>
      <x:c r="D2" s="40"/>
      <x:c r="E2" s="40"/>
      <x:c r="F2" s="40"/>
      <x:c r="G2" s="40"/>
    </x:row>
    <x:row r="4" ht="30" customHeight="1">
      <x:c r="A4" s="6" t="s">
        <x:v>21</x:v>
      </x:c>
      <x:c r="B4" s="6" t="s">
        <x:v>22</x:v>
      </x:c>
      <x:c r="C4" s="6" t="s">
        <x:v>23</x:v>
      </x:c>
      <x:c r="D4" s="6" t="s">
        <x:v>24</x:v>
      </x:c>
      <x:c r="E4" s="6" t="s">
        <x:v>25</x:v>
      </x:c>
      <x:c r="F4" s="6" t="s">
        <x:v>26</x:v>
      </x:c>
      <x:c r="G4" s="6" t="s">
        <x:v>27</x:v>
      </x:c>
    </x:row>
    <x:row r="5" ht="21.75" customHeight="1">
      <x:c r="A5" s="41" t="s">
        <x:v>28</x:v>
      </x:c>
      <x:c r="B5" s="41"/>
      <x:c r="C5" s="41"/>
      <x:c r="D5" s="41"/>
      <x:c r="E5" s="41"/>
      <x:c r="F5" s="41"/>
      <x:c r="G5" s="41"/>
    </x:row>
    <x:row r="6" ht="91.5" customHeight="1">
      <x:c r="A6" s="7" t="s">
        <x:v>29</x:v>
      </x:c>
      <x:c r="B6" s="8" t="s">
        <x:v>30</x:v>
      </x:c>
      <x:c r="C6" s="9" t="s">
        <x:v>31</x:v>
      </x:c>
      <x:c r="D6" s="8" t="s">
        <x:v>32</x:v>
      </x:c>
      <x:c r="E6" s="9" t="s">
        <x:v>33</x:v>
      </x:c>
      <x:c r="F6" s="8" t="s">
        <x:v>34</x:v>
      </x:c>
      <x:c r="G6" s="10"/>
    </x:row>
    <x:row r="7" ht="91.5" customHeight="1">
      <x:c r="A7" s="7" t="s">
        <x:v>35</x:v>
      </x:c>
      <x:c r="B7" s="8" t="s">
        <x:v>36</x:v>
      </x:c>
      <x:c r="C7" s="9" t="s">
        <x:v>37</x:v>
      </x:c>
      <x:c r="D7" s="8" t="s">
        <x:v>38</x:v>
      </x:c>
      <x:c r="E7" s="9" t="s">
        <x:v>39</x:v>
      </x:c>
      <x:c r="F7" s="8" t="s">
        <x:v>40</x:v>
      </x:c>
      <x:c r="G7" s="10"/>
    </x:row>
    <x:row r="8" ht="91.5" customHeight="1">
      <x:c r="A8" s="7" t="s">
        <x:v>41</x:v>
      </x:c>
      <x:c r="B8" s="8" t="s">
        <x:v>42</x:v>
      </x:c>
      <x:c r="C8" s="9" t="s">
        <x:v>43</x:v>
      </x:c>
      <x:c r="D8" s="8" t="s">
        <x:v>44</x:v>
      </x:c>
      <x:c r="E8" s="9" t="s">
        <x:v>45</x:v>
      </x:c>
      <x:c r="F8" s="8" t="s">
        <x:v>46</x:v>
      </x:c>
      <x:c r="G8" s="10"/>
    </x:row>
    <x:row r="9" ht="91.5" customHeight="1">
      <x:c r="A9" s="7" t="s">
        <x:v>47</x:v>
      </x:c>
      <x:c r="B9" s="8" t="s">
        <x:v>48</x:v>
      </x:c>
      <x:c r="C9" s="9" t="s">
        <x:v>49</x:v>
      </x:c>
      <x:c r="D9" s="8" t="s">
        <x:v>50</x:v>
      </x:c>
      <x:c r="E9" s="9" t="s">
        <x:v>51</x:v>
      </x:c>
      <x:c r="F9" s="8" t="s">
        <x:v>52</x:v>
      </x:c>
      <x:c r="G9" s="10"/>
    </x:row>
    <x:row r="10" ht="21.75" customHeight="1">
      <x:c r="A10" s="42" t="s">
        <x:v>53</x:v>
      </x:c>
      <x:c r="B10" s="42"/>
      <x:c r="C10" s="42"/>
      <x:c r="D10" s="42"/>
      <x:c r="E10" s="42"/>
      <x:c r="F10" s="42"/>
      <x:c r="G10" s="42"/>
    </x:row>
    <x:row r="11" ht="91.5" customHeight="1">
      <x:c r="A11" s="7" t="s">
        <x:v>54</x:v>
      </x:c>
      <x:c r="B11" s="8" t="s">
        <x:v>55</x:v>
      </x:c>
      <x:c r="C11" s="9" t="s">
        <x:v>56</x:v>
      </x:c>
      <x:c r="D11" s="8" t="s">
        <x:v>57</x:v>
      </x:c>
      <x:c r="E11" s="9" t="s">
        <x:v>58</x:v>
      </x:c>
      <x:c r="F11" s="8" t="s">
        <x:v>59</x:v>
      </x:c>
      <x:c r="G11" s="10"/>
    </x:row>
    <x:row r="12" ht="91.5" customHeight="1">
      <x:c r="A12" s="7" t="s">
        <x:v>60</x:v>
      </x:c>
      <x:c r="B12" s="8" t="s">
        <x:v>61</x:v>
      </x:c>
      <x:c r="C12" s="9" t="s">
        <x:v>62</x:v>
      </x:c>
      <x:c r="D12" s="8" t="s">
        <x:v>63</x:v>
      </x:c>
      <x:c r="E12" s="9" t="s">
        <x:v>64</x:v>
      </x:c>
      <x:c r="F12" s="8" t="s">
        <x:v>65</x:v>
      </x:c>
      <x:c r="G12" s="10"/>
    </x:row>
    <x:row r="13" ht="91.5" customHeight="1">
      <x:c r="A13" s="7" t="s">
        <x:v>66</x:v>
      </x:c>
      <x:c r="B13" s="8" t="s">
        <x:v>67</x:v>
      </x:c>
      <x:c r="C13" s="9" t="s">
        <x:v>68</x:v>
      </x:c>
      <x:c r="D13" s="8" t="s">
        <x:v>69</x:v>
      </x:c>
      <x:c r="E13" s="9" t="s">
        <x:v>70</x:v>
      </x:c>
      <x:c r="F13" s="8" t="s">
        <x:v>71</x:v>
      </x:c>
      <x:c r="G13" s="10"/>
    </x:row>
    <x:row r="14" ht="91.5" customHeight="1">
      <x:c r="A14" s="7" t="s">
        <x:v>72</x:v>
      </x:c>
      <x:c r="B14" s="8" t="s">
        <x:v>73</x:v>
      </x:c>
      <x:c r="C14" s="9" t="s">
        <x:v>74</x:v>
      </x:c>
      <x:c r="D14" s="8" t="s">
        <x:v>75</x:v>
      </x:c>
      <x:c r="E14" s="9" t="s">
        <x:v>76</x:v>
      </x:c>
      <x:c r="F14" s="8" t="s">
        <x:v>77</x:v>
      </x:c>
      <x:c r="G14" s="10"/>
    </x:row>
    <x:row r="15" ht="21.75" customHeight="1">
      <x:c r="A15" s="43" t="s">
        <x:v>78</x:v>
      </x:c>
      <x:c r="B15" s="43"/>
      <x:c r="C15" s="43"/>
      <x:c r="D15" s="43"/>
      <x:c r="E15" s="43"/>
      <x:c r="F15" s="43"/>
      <x:c r="G15" s="43"/>
    </x:row>
    <x:row r="16" ht="91.5" customHeight="1">
      <x:c r="A16" s="7" t="s">
        <x:v>79</x:v>
      </x:c>
      <x:c r="B16" s="8" t="s">
        <x:v>80</x:v>
      </x:c>
      <x:c r="C16" s="9" t="s">
        <x:v>81</x:v>
      </x:c>
      <x:c r="D16" s="8" t="s">
        <x:v>82</x:v>
      </x:c>
      <x:c r="E16" s="9" t="s">
        <x:v>83</x:v>
      </x:c>
      <x:c r="F16" s="8" t="s">
        <x:v>84</x:v>
      </x:c>
      <x:c r="G16" s="10"/>
    </x:row>
    <x:row r="17" ht="91.5" customHeight="1">
      <x:c r="A17" s="7" t="s">
        <x:v>85</x:v>
      </x:c>
      <x:c r="B17" s="8" t="s">
        <x:v>86</x:v>
      </x:c>
      <x:c r="C17" s="9" t="s">
        <x:v>87</x:v>
      </x:c>
      <x:c r="D17" s="8" t="s">
        <x:v>88</x:v>
      </x:c>
      <x:c r="E17" s="9" t="s">
        <x:v>89</x:v>
      </x:c>
      <x:c r="F17" s="8" t="s">
        <x:v>90</x:v>
      </x:c>
      <x:c r="G17" s="10"/>
    </x:row>
    <x:row r="18" ht="91.5" customHeight="1">
      <x:c r="A18" s="7" t="s">
        <x:v>91</x:v>
      </x:c>
      <x:c r="B18" s="8" t="s">
        <x:v>92</x:v>
      </x:c>
      <x:c r="C18" s="9" t="s">
        <x:v>93</x:v>
      </x:c>
      <x:c r="D18" s="8" t="s">
        <x:v>94</x:v>
      </x:c>
      <x:c r="E18" s="9" t="s">
        <x:v>95</x:v>
      </x:c>
      <x:c r="F18" s="8" t="s">
        <x:v>96</x:v>
      </x:c>
      <x:c r="G18" s="10"/>
    </x:row>
    <x:row r="19" ht="91.5" customHeight="1">
      <x:c r="A19" s="7" t="s">
        <x:v>97</x:v>
      </x:c>
      <x:c r="B19" s="8" t="s">
        <x:v>98</x:v>
      </x:c>
      <x:c r="C19" s="9" t="s">
        <x:v>99</x:v>
      </x:c>
      <x:c r="D19" s="8" t="s">
        <x:v>100</x:v>
      </x:c>
      <x:c r="E19" s="9" t="s">
        <x:v>101</x:v>
      </x:c>
      <x:c r="F19" s="8" t="s">
        <x:v>102</x:v>
      </x:c>
      <x:c r="G19" s="10"/>
    </x:row>
  </x:sheetData>
  <x:mergeCells>
    <x:mergeCell ref="A1:G1"/>
    <x:mergeCell ref="A2:G2"/>
    <x:mergeCell ref="A5:G5"/>
    <x:mergeCell ref="A10:G10"/>
    <x:mergeCell ref="A15:G15"/>
  </x:mergeCells>
  <x:dataValidations count="3">
    <x:dataValidation type="list" errorStyle="stop" showErrorMessage="1" errorTitle="Invalid score" error="Choose a whole-number score from 1 to 5, or leave the cell blank." sqref="G6:G9" allowBlank="1" showDropDown="0">
      <x:formula1>"1,2,3,4,5"</x:formula1>
    </x:dataValidation>
    <x:dataValidation type="list" errorStyle="stop" showErrorMessage="1" errorTitle="Invalid score" error="Choose a whole-number score from 1 to 5, or leave the cell blank." sqref="G11:G14" allowBlank="1" showDropDown="0">
      <x:formula1>"1,2,3,4,5"</x:formula1>
    </x:dataValidation>
    <x:dataValidation type="list" errorStyle="stop" showErrorMessage="1" errorTitle="Invalid score" error="Choose a whole-number score from 1 to 5, or leave the cell blank." sqref="G16:G19" allowBlank="1" showDropDown="0">
      <x:formula1>"1,2,3,4,5"</x:formula1>
    </x:dataValidation>
  </x:dataValidations>
  <x:pageMargins left="0.75" right="0.75" top="1" bottom="1" header="0.511811023622047" footer="0.511811023622047"/>
  <x:pageSetup paperSize="9" orientation="portrait" horizontalDpi="300" verticalDpi="30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5"/>
  <x:cols>
    <x:col min="1" max="1" width="3" customWidth="1"/>
    <x:col min="2" max="2" width="32" customWidth="1"/>
    <x:col min="3" max="4" width="12" customWidth="1"/>
    <x:col min="5" max="5" width="25.453125" customWidth="1"/>
    <x:col min="6" max="6" width="3" customWidth="1"/>
    <x:col min="8" max="9" width="2" hidden="1" customWidth="1"/>
    <x:col min="11" max="12" width="13" hidden="1" customWidth="1"/>
  </x:cols>
  <x:sheetData>
    <x:row r="2" ht="23">
      <x:c r="B2" s="37" t="s">
        <x:v>103</x:v>
      </x:c>
      <x:c r="C2" s="37"/>
      <x:c r="D2" s="37"/>
      <x:c r="E2" s="37"/>
    </x:row>
    <x:row r="3">
      <x:c r="B3" s="38" t="s">
        <x:v>104</x:v>
      </x:c>
      <x:c r="C3" s="38"/>
      <x:c r="D3" s="38"/>
      <x:c r="E3" s="38"/>
    </x:row>
    <x:row r="5">
      <x:c r="B5" s="11" t="s">
        <x:v>105</x:v>
      </x:c>
      <x:c r="C5" s="11" t="s">
        <x:v>106</x:v>
      </x:c>
      <x:c r="D5" s="11" t="s">
        <x:v>107</x:v>
      </x:c>
      <x:c r="E5" s="11" t="s">
        <x:v>108</x:v>
      </x:c>
      <x:c r="H5" s="12" t="s">
        <x:v>21</x:v>
      </x:c>
      <x:c r="I5" s="12" t="s">
        <x:v>106</x:v>
      </x:c>
      <x:c r="K5" s="12" t="s">
        <x:v>109</x:v>
      </x:c>
      <x:c r="L5" s="12" t="s">
        <x:v>106</x:v>
      </x:c>
    </x:row>
    <x:row r="6" ht="18" customHeight="1">
      <x:c r="B6" s="13" t="s">
        <x:v>110</x:v>
      </x:c>
      <x:c r="C6" s="14" t="str">
        <x:f>IFERROR(IF(ISBLANK(Questionnaire!G6),"",IF(AND(ISNUMBER(Questionnaire!G6),Questionnaire!G6&gt;=1,Questionnaire!G6&lt;=5,MOD(Questionnaire!G6,1)=0),Questionnaire!G6,"Invalid score")),"Invalid score")</x:f>
      </x:c>
      <x:c r="D6" s="15" t="str">
        <x:f>IF(ISNUMBER(C6),C6,"-")</x:f>
        <x:v>-</x:v>
      </x:c>
      <x:c r="E6" s="13" t="str">
        <x:f t="shared" ref="E6:E21" si="0">IF(C6="","Not scored",IF(ISNUMBER(C6),IF(C6&lt;1.5,"1 Initial",IF(C6&lt;2.5,"2 Repeatable",IF(C6&lt;3.5,"3 Defined",IF(C6&lt;4.5,"4 Capable","5 Efficient")))),"Invalid score"))</x:f>
        <x:v>Not scored</x:v>
      </x:c>
      <x:c r="H6" s="16" t="s">
        <x:v>110</x:v>
      </x:c>
      <x:c r="I6" s="17" t="str">
        <x:f>IF(ISNUMBER(C6),C6,"")</x:f>
      </x:c>
      <x:c r="K6" s="16" t="s">
        <x:v>111</x:v>
      </x:c>
      <x:c r="L6" s="18" t="str">
        <x:f>IF(ISNUMBER(C10),C10,"")</x:f>
      </x:c>
    </x:row>
    <x:row r="7" ht="18" customHeight="1">
      <x:c r="B7" s="13" t="s">
        <x:v>112</x:v>
      </x:c>
      <x:c r="C7" s="14" t="str">
        <x:f>IFERROR(IF(ISBLANK(Questionnaire!G7),"",IF(AND(ISNUMBER(Questionnaire!G7),Questionnaire!G7&gt;=1,Questionnaire!G7&lt;=5,MOD(Questionnaire!G7,1)=0),Questionnaire!G7,"Invalid score")),"Invalid score")</x:f>
      </x:c>
      <x:c r="D7" s="15" t="str">
        <x:f>IF(ISNUMBER(C7),C7,"-")</x:f>
        <x:v>-</x:v>
      </x:c>
      <x:c r="E7" s="13" t="str">
        <x:f t="shared" si="0">IF(C7="","Not scored",IF(ISNUMBER(C7),IF(C7&lt;1.5,"1 Initial",IF(C7&lt;2.5,"2 Repeatable",IF(C7&lt;3.5,"3 Defined",IF(C7&lt;4.5,"4 Capable","5 Efficient")))),"Invalid score"))</x:f>
        <x:v>Not scored</x:v>
      </x:c>
      <x:c r="H7" s="16" t="s">
        <x:v>112</x:v>
      </x:c>
      <x:c r="I7" s="17" t="str">
        <x:f>IF(ISNUMBER(C7),C7,"")</x:f>
      </x:c>
      <x:c r="K7" s="16" t="s">
        <x:v>113</x:v>
      </x:c>
      <x:c r="L7" s="18" t="str">
        <x:f>IF(ISNUMBER(C15),C15,"")</x:f>
      </x:c>
    </x:row>
    <x:row r="8" ht="18" customHeight="1">
      <x:c r="B8" s="13" t="s">
        <x:v>114</x:v>
      </x:c>
      <x:c r="C8" s="14" t="str">
        <x:f>IFERROR(IF(ISBLANK(Questionnaire!G8),"",IF(AND(ISNUMBER(Questionnaire!G8),Questionnaire!G8&gt;=1,Questionnaire!G8&lt;=5,MOD(Questionnaire!G8,1)=0),Questionnaire!G8,"Invalid score")),"Invalid score")</x:f>
      </x:c>
      <x:c r="D8" s="15" t="str">
        <x:f>IF(ISNUMBER(C8),C8,"-")</x:f>
        <x:v>-</x:v>
      </x:c>
      <x:c r="E8" s="13" t="str">
        <x:f t="shared" si="0">IF(C8="","Not scored",IF(ISNUMBER(C8),IF(C8&lt;1.5,"1 Initial",IF(C8&lt;2.5,"2 Repeatable",IF(C8&lt;3.5,"3 Defined",IF(C8&lt;4.5,"4 Capable","5 Efficient")))),"Invalid score"))</x:f>
        <x:v>Not scored</x:v>
      </x:c>
      <x:c r="H8" s="16" t="s">
        <x:v>114</x:v>
      </x:c>
      <x:c r="I8" s="17" t="str">
        <x:f>IF(ISNUMBER(C8),C8,"")</x:f>
      </x:c>
      <x:c r="K8" s="16" t="s">
        <x:v>115</x:v>
      </x:c>
      <x:c r="L8" s="18" t="str">
        <x:f>IF(ISNUMBER(C20),C20,"")</x:f>
      </x:c>
    </x:row>
    <x:row r="9" ht="18" customHeight="1">
      <x:c r="B9" s="13" t="s">
        <x:v>116</x:v>
      </x:c>
      <x:c r="C9" s="14" t="str">
        <x:f>IFERROR(IF(ISBLANK(Questionnaire!G9),"",IF(AND(ISNUMBER(Questionnaire!G9),Questionnaire!G9&gt;=1,Questionnaire!G9&lt;=5,MOD(Questionnaire!G9,1)=0),Questionnaire!G9,"Invalid score")),"Invalid score")</x:f>
      </x:c>
      <x:c r="D9" s="15" t="str">
        <x:f>IF(ISNUMBER(C9),C9,"-")</x:f>
        <x:v>-</x:v>
      </x:c>
      <x:c r="E9" s="13" t="str">
        <x:f t="shared" si="0">IF(C9="","Not scored",IF(ISNUMBER(C9),IF(C9&lt;1.5,"1 Initial",IF(C9&lt;2.5,"2 Repeatable",IF(C9&lt;3.5,"3 Defined",IF(C9&lt;4.5,"4 Capable","5 Efficient")))),"Invalid score"))</x:f>
        <x:v>Not scored</x:v>
      </x:c>
      <x:c r="H9" s="16" t="s">
        <x:v>116</x:v>
      </x:c>
      <x:c r="I9" s="17" t="str">
        <x:f>IF(ISNUMBER(C9),C9,"")</x:f>
      </x:c>
    </x:row>
    <x:row r="10" ht="19.5" customHeight="1">
      <x:c r="B10" s="19" t="s">
        <x:v>117</x:v>
      </x:c>
      <x:c r="C10" s="20" t="str">
        <x:f>IF(COUNT(C6:C9)=4,AVERAGE(C6:C9),"")</x:f>
      </x:c>
      <x:c r="D10" s="21" t="str">
        <x:f>IF(C10="","-",ROUND(C10,0))</x:f>
        <x:v>-</x:v>
      </x:c>
      <x:c r="E10" s="19" t="str">
        <x:f t="shared" si="0">IF(COUNTIF(C6:C9,"Invalid score")&gt;0,"Invalid score",IF(COUNT(C6:C9)=0,"Not scored",IF(COUNT(C6:C9)&lt;4,"Incomplete",IF(C10&lt;1.5,"1 Initial",IF(C10&lt;2.5,"2 Repeatable",IF(C10&lt;3.5,"3 Defined",IF(C10&lt;4.5,"4 Capable","5 Efficient")))))))</x:f>
        <x:v>Not scored</x:v>
      </x:c>
      <x:c r="H10" s="16" t="s">
        <x:v>118</x:v>
      </x:c>
      <x:c r="I10" s="17" t="str">
        <x:f>IF(ISNUMBER(C11),C11,"")</x:f>
      </x:c>
    </x:row>
    <x:row r="11" ht="18" customHeight="1">
      <x:c r="B11" s="13" t="s">
        <x:v>118</x:v>
      </x:c>
      <x:c r="C11" s="14" t="str">
        <x:f>IFERROR(IF(ISBLANK(Questionnaire!G11),"",IF(AND(ISNUMBER(Questionnaire!G11),Questionnaire!G11&gt;=1,Questionnaire!G11&lt;=5,MOD(Questionnaire!G11,1)=0),Questionnaire!G11,"Invalid score")),"Invalid score")</x:f>
      </x:c>
      <x:c r="D11" s="15" t="str">
        <x:f>IF(ISNUMBER(C11),C11,"-")</x:f>
        <x:v>-</x:v>
      </x:c>
      <x:c r="E11" s="13" t="str">
        <x:f t="shared" si="0">IF(C11="","Not scored",IF(ISNUMBER(C11),IF(C11&lt;1.5,"1 Initial",IF(C11&lt;2.5,"2 Repeatable",IF(C11&lt;3.5,"3 Defined",IF(C11&lt;4.5,"4 Capable","5 Efficient")))),"Invalid score"))</x:f>
        <x:v>Not scored</x:v>
      </x:c>
      <x:c r="H11" s="16" t="s">
        <x:v>119</x:v>
      </x:c>
      <x:c r="I11" s="17" t="str">
        <x:f>IF(ISNUMBER(C12),C12,"")</x:f>
      </x:c>
    </x:row>
    <x:row r="12" ht="18" customHeight="1">
      <x:c r="B12" s="13" t="s">
        <x:v>119</x:v>
      </x:c>
      <x:c r="C12" s="14" t="str">
        <x:f>IFERROR(IF(ISBLANK(Questionnaire!G12),"",IF(AND(ISNUMBER(Questionnaire!G12),Questionnaire!G12&gt;=1,Questionnaire!G12&lt;=5,MOD(Questionnaire!G12,1)=0),Questionnaire!G12,"Invalid score")),"Invalid score")</x:f>
      </x:c>
      <x:c r="D12" s="15" t="str">
        <x:f>IF(ISNUMBER(C12),C12,"-")</x:f>
        <x:v>-</x:v>
      </x:c>
      <x:c r="E12" s="13" t="str">
        <x:f t="shared" si="0">IF(C12="","Not scored",IF(ISNUMBER(C12),IF(C12&lt;1.5,"1 Initial",IF(C12&lt;2.5,"2 Repeatable",IF(C12&lt;3.5,"3 Defined",IF(C12&lt;4.5,"4 Capable","5 Efficient")))),"Invalid score"))</x:f>
        <x:v>Not scored</x:v>
      </x:c>
      <x:c r="H12" s="16" t="s">
        <x:v>120</x:v>
      </x:c>
      <x:c r="I12" s="17" t="str">
        <x:f>IF(ISNUMBER(C13),C13,"")</x:f>
      </x:c>
    </x:row>
    <x:row r="13" ht="18" customHeight="1">
      <x:c r="B13" s="13" t="s">
        <x:v>120</x:v>
      </x:c>
      <x:c r="C13" s="14" t="str">
        <x:f>IFERROR(IF(ISBLANK(Questionnaire!G13),"",IF(AND(ISNUMBER(Questionnaire!G13),Questionnaire!G13&gt;=1,Questionnaire!G13&lt;=5,MOD(Questionnaire!G13,1)=0),Questionnaire!G13,"Invalid score")),"Invalid score")</x:f>
      </x:c>
      <x:c r="D13" s="15" t="str">
        <x:f>IF(ISNUMBER(C13),C13,"-")</x:f>
        <x:v>-</x:v>
      </x:c>
      <x:c r="E13" s="13" t="str">
        <x:f t="shared" si="0">IF(C13="","Not scored",IF(ISNUMBER(C13),IF(C13&lt;1.5,"1 Initial",IF(C13&lt;2.5,"2 Repeatable",IF(C13&lt;3.5,"3 Defined",IF(C13&lt;4.5,"4 Capable","5 Efficient")))),"Invalid score"))</x:f>
        <x:v>Not scored</x:v>
      </x:c>
      <x:c r="H13" s="16" t="s">
        <x:v>121</x:v>
      </x:c>
      <x:c r="I13" s="17" t="str">
        <x:f>IF(ISNUMBER(C14),C14,"")</x:f>
      </x:c>
    </x:row>
    <x:row r="14" ht="18" customHeight="1">
      <x:c r="B14" s="13" t="s">
        <x:v>121</x:v>
      </x:c>
      <x:c r="C14" s="14" t="str">
        <x:f>IFERROR(IF(ISBLANK(Questionnaire!G14),"",IF(AND(ISNUMBER(Questionnaire!G14),Questionnaire!G14&gt;=1,Questionnaire!G14&lt;=5,MOD(Questionnaire!G14,1)=0),Questionnaire!G14,"Invalid score")),"Invalid score")</x:f>
      </x:c>
      <x:c r="D14" s="15" t="str">
        <x:f>IF(ISNUMBER(C14),C14,"-")</x:f>
        <x:v>-</x:v>
      </x:c>
      <x:c r="E14" s="13" t="str">
        <x:f t="shared" si="0">IF(C14="","Not scored",IF(ISNUMBER(C14),IF(C14&lt;1.5,"1 Initial",IF(C14&lt;2.5,"2 Repeatable",IF(C14&lt;3.5,"3 Defined",IF(C14&lt;4.5,"4 Capable","5 Efficient")))),"Invalid score"))</x:f>
        <x:v>Not scored</x:v>
      </x:c>
      <x:c r="H14" s="16" t="s">
        <x:v>122</x:v>
      </x:c>
      <x:c r="I14" s="17" t="str">
        <x:f>IF(ISNUMBER(C16),C16,"")</x:f>
      </x:c>
    </x:row>
    <x:row r="15" ht="19.5" customHeight="1">
      <x:c r="B15" s="22" t="s">
        <x:v>123</x:v>
      </x:c>
      <x:c r="C15" s="23" t="str">
        <x:f>IF(COUNT(C11:C14)=4,AVERAGE(C11:C14),"")</x:f>
      </x:c>
      <x:c r="D15" s="24" t="str">
        <x:f>IF(C15="","-",ROUND(C15,0))</x:f>
        <x:v>-</x:v>
      </x:c>
      <x:c r="E15" s="22" t="str">
        <x:f t="shared" si="0">IF(COUNTIF(C11:C14,"Invalid score")&gt;0,"Invalid score",IF(COUNT(C11:C14)=0,"Not scored",IF(COUNT(C11:C14)&lt;4,"Incomplete",IF(C15&lt;1.5,"1 Initial",IF(C15&lt;2.5,"2 Repeatable",IF(C15&lt;3.5,"3 Defined",IF(C15&lt;4.5,"4 Capable","5 Efficient")))))))</x:f>
        <x:v>Not scored</x:v>
      </x:c>
      <x:c r="H15" s="16" t="s">
        <x:v>124</x:v>
      </x:c>
      <x:c r="I15" s="17" t="str">
        <x:f>IF(ISNUMBER(C17),C17,"")</x:f>
      </x:c>
    </x:row>
    <x:row r="16" ht="18" customHeight="1">
      <x:c r="B16" s="13" t="s">
        <x:v>122</x:v>
      </x:c>
      <x:c r="C16" s="14" t="str">
        <x:f>IFERROR(IF(ISBLANK(Questionnaire!G16),"",IF(AND(ISNUMBER(Questionnaire!G16),Questionnaire!G16&gt;=1,Questionnaire!G16&lt;=5,MOD(Questionnaire!G16,1)=0),Questionnaire!G16,"Invalid score")),"Invalid score")</x:f>
      </x:c>
      <x:c r="D16" s="15" t="str">
        <x:f>IF(ISNUMBER(C16),C16,"-")</x:f>
        <x:v>-</x:v>
      </x:c>
      <x:c r="E16" s="13" t="str">
        <x:f t="shared" si="0">IF(C16="","Not scored",IF(ISNUMBER(C16),IF(C16&lt;1.5,"1 Initial",IF(C16&lt;2.5,"2 Repeatable",IF(C16&lt;3.5,"3 Defined",IF(C16&lt;4.5,"4 Capable","5 Efficient")))),"Invalid score"))</x:f>
        <x:v>Not scored</x:v>
      </x:c>
      <x:c r="H16" s="16" t="s">
        <x:v>125</x:v>
      </x:c>
      <x:c r="I16" s="17" t="str">
        <x:f>IF(ISNUMBER(C18),C18,"")</x:f>
      </x:c>
    </x:row>
    <x:row r="17" ht="18" customHeight="1">
      <x:c r="B17" s="13" t="s">
        <x:v>124</x:v>
      </x:c>
      <x:c r="C17" s="14" t="str">
        <x:f>IFERROR(IF(ISBLANK(Questionnaire!G17),"",IF(AND(ISNUMBER(Questionnaire!G17),Questionnaire!G17&gt;=1,Questionnaire!G17&lt;=5,MOD(Questionnaire!G17,1)=0),Questionnaire!G17,"Invalid score")),"Invalid score")</x:f>
      </x:c>
      <x:c r="D17" s="15" t="str">
        <x:f>IF(ISNUMBER(C17),C17,"-")</x:f>
        <x:v>-</x:v>
      </x:c>
      <x:c r="E17" s="13" t="str">
        <x:f t="shared" si="0">IF(C17="","Not scored",IF(ISNUMBER(C17),IF(C17&lt;1.5,"1 Initial",IF(C17&lt;2.5,"2 Repeatable",IF(C17&lt;3.5,"3 Defined",IF(C17&lt;4.5,"4 Capable","5 Efficient")))),"Invalid score"))</x:f>
        <x:v>Not scored</x:v>
      </x:c>
      <x:c r="H17" s="16" t="s">
        <x:v>126</x:v>
      </x:c>
      <x:c r="I17" s="17" t="str">
        <x:f>IF(ISNUMBER(C19),C19,"")</x:f>
      </x:c>
    </x:row>
    <x:row r="18" ht="18" customHeight="1">
      <x:c r="B18" s="13" t="s">
        <x:v>125</x:v>
      </x:c>
      <x:c r="C18" s="14" t="str">
        <x:f>IFERROR(IF(ISBLANK(Questionnaire!G18),"",IF(AND(ISNUMBER(Questionnaire!G18),Questionnaire!G18&gt;=1,Questionnaire!G18&lt;=5,MOD(Questionnaire!G18,1)=0),Questionnaire!G18,"Invalid score")),"Invalid score")</x:f>
      </x:c>
      <x:c r="D18" s="15" t="str">
        <x:f>IF(ISNUMBER(C18),C18,"-")</x:f>
        <x:v>-</x:v>
      </x:c>
      <x:c r="E18" s="13" t="str">
        <x:f t="shared" si="0">IF(C18="","Not scored",IF(ISNUMBER(C18),IF(C18&lt;1.5,"1 Initial",IF(C18&lt;2.5,"2 Repeatable",IF(C18&lt;3.5,"3 Defined",IF(C18&lt;4.5,"4 Capable","5 Efficient")))),"Invalid score"))</x:f>
        <x:v>Not scored</x:v>
      </x:c>
    </x:row>
    <x:row r="19" ht="18" customHeight="1">
      <x:c r="B19" s="13" t="s">
        <x:v>126</x:v>
      </x:c>
      <x:c r="C19" s="14" t="str">
        <x:f>IFERROR(IF(ISBLANK(Questionnaire!G19),"",IF(AND(ISNUMBER(Questionnaire!G19),Questionnaire!G19&gt;=1,Questionnaire!G19&lt;=5,MOD(Questionnaire!G19,1)=0),Questionnaire!G19,"Invalid score")),"Invalid score")</x:f>
      </x:c>
      <x:c r="D19" s="15" t="str">
        <x:f>IF(ISNUMBER(C19),C19,"-")</x:f>
        <x:v>-</x:v>
      </x:c>
      <x:c r="E19" s="13" t="str">
        <x:f t="shared" si="0">IF(C19="","Not scored",IF(ISNUMBER(C19),IF(C19&lt;1.5,"1 Initial",IF(C19&lt;2.5,"2 Repeatable",IF(C19&lt;3.5,"3 Defined",IF(C19&lt;4.5,"4 Capable","5 Efficient")))),"Invalid score"))</x:f>
        <x:v>Not scored</x:v>
      </x:c>
    </x:row>
    <x:row r="20" ht="19.5" customHeight="1">
      <x:c r="B20" s="25" t="s">
        <x:v>127</x:v>
      </x:c>
      <x:c r="C20" s="26" t="str">
        <x:f>IF(COUNT(C16:C19)=4,AVERAGE(C16:C19),"")</x:f>
      </x:c>
      <x:c r="D20" s="27" t="str">
        <x:f>IF(C20="","-",ROUND(C20,0))</x:f>
        <x:v>-</x:v>
      </x:c>
      <x:c r="E20" s="25" t="str">
        <x:f t="shared" si="0">IF(COUNTIF(C16:C19,"Invalid score")&gt;0,"Invalid score",IF(COUNT(C16:C19)=0,"Not scored",IF(COUNT(C16:C19)&lt;4,"Incomplete",IF(C20&lt;1.5,"1 Initial",IF(C20&lt;2.5,"2 Repeatable",IF(C20&lt;3.5,"3 Defined",IF(C20&lt;4.5,"4 Capable","5 Efficient")))))))</x:f>
        <x:v>Not scored</x:v>
      </x:c>
    </x:row>
    <x:row r="21" ht="24" customHeight="1">
      <x:c r="B21" s="28" t="str">
        <x:v>OVERALL SCORE (avg)</x:v>
      </x:c>
      <x:c r="C21" s="29" t="str">
        <x:f>IF(COUNT(C6:C9,C11:C14,C16:C19)=12,AVERAGE(C6:C9,C11:C14,C16:C19),"")</x:f>
      </x:c>
      <x:c r="D21" s="30" t="str">
        <x:f>IF(C21="","-",ROUND(C21,0))</x:f>
        <x:v>-</x:v>
      </x:c>
      <x:c r="E21" s="28" t="str">
        <x:f t="shared" si="0">IF(SUM(COUNTIF(C6:C9,"Invalid score"),COUNTIF(C11:C14,"Invalid score"),COUNTIF(C16:C19,"Invalid score"))&gt;0,"Invalid score",IF(COUNT(C6:C9,C11:C14,C16:C19)=0,"Not scored",IF(COUNT(C6:C9,C11:C14,C16:C19)&lt;12,"Incomplete",IF(C21&lt;1.5,"1 Initial",IF(C21&lt;2.5,"2 Repeatable",IF(C21&lt;3.5,"3 Defined",IF(C21&lt;4.5,"4 Capable","5 Efficient")))))))</x:f>
        <x:v>Not scored</x:v>
      </x:c>
    </x:row>
    <x:row r="24">
      <x:c r="B24" s="31" t="s">
        <x:v>128</x:v>
      </x:c>
    </x:row>
    <x:row r="25">
      <x:c r="B25" s="32" t="s">
        <x:v>129</x:v>
      </x:c>
      <x:c r="C25" s="35" t="s">
        <x:v>130</x:v>
      </x:c>
      <x:c r="D25" s="35"/>
      <x:c r="E25" s="35"/>
    </x:row>
    <x:row r="26">
      <x:c r="B26" s="32" t="s">
        <x:v>131</x:v>
      </x:c>
      <x:c r="C26" s="35" t="s">
        <x:v>132</x:v>
      </x:c>
      <x:c r="D26" s="35"/>
      <x:c r="E26" s="35"/>
    </x:row>
    <x:row r="27">
      <x:c r="B27" s="32" t="s">
        <x:v>133</x:v>
      </x:c>
      <x:c r="C27" s="35" t="s">
        <x:v>134</x:v>
      </x:c>
      <x:c r="D27" s="35"/>
      <x:c r="E27" s="35"/>
    </x:row>
    <x:row r="28">
      <x:c r="B28" s="32" t="s">
        <x:v>135</x:v>
      </x:c>
      <x:c r="C28" s="35" t="s">
        <x:v>136</x:v>
      </x:c>
      <x:c r="D28" s="35"/>
      <x:c r="E28" s="35"/>
    </x:row>
    <x:row r="29">
      <x:c r="B29" s="32" t="s">
        <x:v>137</x:v>
      </x:c>
      <x:c r="C29" s="35" t="s">
        <x:v>138</x:v>
      </x:c>
      <x:c r="D29" s="35"/>
      <x:c r="E29" s="35"/>
    </x:row>
    <x:row r="31">
      <x:c r="B31" s="36" t="s">
        <x:v>139</x:v>
      </x:c>
      <x:c r="C31" s="36"/>
      <x:c r="D31" s="36"/>
      <x:c r="E31" s="36"/>
    </x:row>
  </x:sheetData>
  <x:mergeCells>
    <x:mergeCell ref="C28:E28"/>
    <x:mergeCell ref="C29:E29"/>
    <x:mergeCell ref="B31:E31"/>
    <x:mergeCell ref="B2:E2"/>
    <x:mergeCell ref="B3:E3"/>
    <x:mergeCell ref="C25:E25"/>
    <x:mergeCell ref="C26:E26"/>
    <x:mergeCell ref="C27:E27"/>
  </x:mergeCells>
  <x:pageMargins left="0.75" right="0.75" top="1" bottom="1" header="0.511811023622047" footer="0.511811023622047"/>
  <x:pageSetup paperSize="9" orientation="portrait" horizontalDpi="300" verticalDpi="300"/>
  <x:drawing xmlns:r="http://schemas.openxmlformats.org/officeDocument/2006/relationships" r:id="R54871db2ac4044a2"/>
</x:worksheet>
</file>

<file path=xl/worksheets/sheet4.xml><?xml version="1.0" encoding="utf-8"?>
<x:worksheet xmlns:x="http://schemas.openxmlformats.org/spreadsheetml/2006/main">
  <x:sheetFormatPr defaultRowHeight="14.5"/>
  <x:sheetData>
    <x:row r="1">
      <x:c r="A1" t="s">
        <x:v>21</x:v>
      </x:c>
      <x:c r="B1" t="str">
        <x:f>Dashboard!K6</x:f>
        <x:v>Foundational</x:v>
      </x:c>
      <x:c r="C1" t="str">
        <x:f>Dashboard!K7</x:f>
        <x:v>Structural</x:v>
      </x:c>
      <x:c r="D1" t="str">
        <x:f>Dashboard!K8</x:f>
        <x:v>Procedural</x:v>
      </x:c>
    </x:row>
    <x:row r="2">
      <x:c r="A2" t="s">
        <x:v>106</x:v>
      </x:c>
      <x:c r="B2" s="44" t="e">
        <x:f>IF(ISNUMBER(Dashboard!L6),Dashboard!L6,NA())</x:f>
        <x:v>#N/A</x:v>
      </x:c>
      <x:c r="C2" s="44" t="e">
        <x:f>IF(ISNUMBER(Dashboard!L7),Dashboard!L7,NA())</x:f>
        <x:v>#N/A</x:v>
      </x:c>
      <x:c r="D2" s="44" t="e">
        <x:f>IF(ISNUMBER(Dashboard!L8),Dashboard!L8,NA())</x:f>
        <x:v>#N/A</x:v>
      </x:c>
      <x:c r="E2" s="44"/>
      <x:c r="F2" s="44"/>
      <x:c r="G2" s="44"/>
      <x:c r="H2" s="44"/>
      <x:c r="I2" s="44"/>
      <x:c r="J2" s="44"/>
      <x:c r="K2" s="44"/>
      <x:c r="L2" s="44"/>
      <x:c r="M2" s="44"/>
    </x:row>
  </x:sheetData>
  <x:pageMargins left="0.7" right="0.7" top="0.75" bottom="0.75" header="0.3" footer="0.3"/>
</x:worksheet>
</file>